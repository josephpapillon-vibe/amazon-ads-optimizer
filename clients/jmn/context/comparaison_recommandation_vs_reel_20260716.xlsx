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color rgb="00595959"/>
      <sz val="9"/>
    </font>
    <font>
      <name val="Arial"/>
      <i val="1"/>
      <color rgb="00808080"/>
    </font>
    <font>
      <name val="Arial"/>
      <b val="1"/>
      <sz val="12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5" fillId="3" borderId="1" pivotButton="0" quotePrefix="0" xfId="0"/>
    <xf numFmtId="164" fontId="4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4" fillId="4" borderId="1" pivotButton="0" quotePrefix="0" xfId="0"/>
    <xf numFmtId="0" fontId="5" fillId="4" borderId="1" pivotButton="0" quotePrefix="0" xfId="0"/>
    <xf numFmtId="164" fontId="4" fillId="4" borderId="1" pivotButton="0" quotePrefix="0" xfId="0"/>
    <xf numFmtId="0" fontId="8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5" borderId="1" pivotButton="0" quotePrefix="0" xfId="0"/>
    <xf numFmtId="0" fontId="5" fillId="5" borderId="1" pivotButton="0" quotePrefix="0" xfId="0"/>
    <xf numFmtId="164" fontId="4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  <xf numFmtId="0" fontId="4" fillId="0" borderId="0" pivotButton="0" quotePrefix="0" xfId="0"/>
    <xf numFmtId="0" fontId="10" fillId="4" borderId="0" pivotButton="0" quotePrefix="0" xfId="0"/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26" customWidth="1" min="9" max="9"/>
    <col width="46" customWidth="1" min="10" max="10"/>
  </cols>
  <sheetData>
    <row r="1">
      <c r="A1" s="1" t="inlineStr">
        <is>
          <t>JMN — Comparaison recommandation moteur (2026-07-16) vs modification reelle appliquee</t>
        </is>
      </c>
    </row>
    <row r="2">
      <c r="A2" s="2" t="inlineStr">
        <is>
          <t>Source: clients/jmn/logs/changes_2026-07-16.csv (recommandations du moteur) vs clients/jmn/context/JMN - Bulk Operation - Canada - 16 juillet 2026.xlsx (modification reelle, campagnes Canada uniquement)</t>
        </is>
      </c>
    </row>
    <row r="4">
      <c r="A4" s="3" t="inlineStr">
        <is>
          <t>Mot-cle / Ciblage</t>
        </is>
      </c>
      <c r="B4" s="3" t="inlineStr">
        <is>
          <t>Entite</t>
        </is>
      </c>
      <c r="C4" s="3" t="inlineStr">
        <is>
          <t>Keyword ID / Target ID</t>
        </is>
      </c>
      <c r="D4" s="3" t="inlineStr">
        <is>
          <t>Bid avant ($, devise mixte)</t>
        </is>
      </c>
      <c r="E4" s="3" t="inlineStr">
        <is>
          <t>Recommandation moteur ($)</t>
        </is>
      </c>
      <c r="F4" s="3" t="inlineStr">
        <is>
          <t>Recommandation moteur (%)</t>
        </is>
      </c>
      <c r="G4" s="3" t="inlineStr">
        <is>
          <t>Modif reelle appliquee ($)</t>
        </is>
      </c>
      <c r="H4" s="3" t="inlineStr">
        <is>
          <t>Modif reelle appliquee (%)</t>
        </is>
      </c>
      <c r="I4" s="3" t="inlineStr">
        <is>
          <t>Statut</t>
        </is>
      </c>
      <c r="J4" s="3" t="inlineStr">
        <is>
          <t>Motif du moteur</t>
        </is>
      </c>
    </row>
    <row r="5" ht="30" customHeight="1">
      <c r="A5" s="4" t="inlineStr">
        <is>
          <t>cutting boards for kitchen</t>
        </is>
      </c>
      <c r="B5" s="4" t="inlineStr">
        <is>
          <t>Keyword</t>
        </is>
      </c>
      <c r="C5" s="4" t="inlineStr">
        <is>
          <t>535332421715329</t>
        </is>
      </c>
      <c r="D5" s="5" t="n">
        <v>0.75</v>
      </c>
      <c r="E5" s="5" t="n">
        <v>0.68</v>
      </c>
      <c r="F5" s="6">
        <f>E5/D5-1</f>
        <v/>
      </c>
      <c r="G5" s="5" t="n">
        <v>0.7875000000000001</v>
      </c>
      <c r="H5" s="6">
        <f>G5/D5-1</f>
        <v/>
      </c>
      <c r="I5" s="7">
        <f>IF(H5="","Recommandation ignoree",IF(SIGN(F5)=SIGN(H5),"Meme direction, ampleur differente","DIRECTION OPPOSEE"))</f>
        <v/>
      </c>
      <c r="J5" s="8" t="inlineStr">
        <is>
          <t>High ACOS (19% &gt; target 15%, normal): bid trimmed up to 10%</t>
        </is>
      </c>
    </row>
    <row r="6" ht="30" customHeight="1">
      <c r="A6" s="4" t="inlineStr">
        <is>
          <t>maple wood cutting boards</t>
        </is>
      </c>
      <c r="B6" s="4" t="inlineStr">
        <is>
          <t>Keyword</t>
        </is>
      </c>
      <c r="C6" s="4" t="inlineStr">
        <is>
          <t>502396684456445</t>
        </is>
      </c>
      <c r="D6" s="5" t="n">
        <v>1.6</v>
      </c>
      <c r="E6" s="5" t="n">
        <v>1.44</v>
      </c>
      <c r="F6" s="6">
        <f>E6/D6-1</f>
        <v/>
      </c>
      <c r="G6" s="5" t="n">
        <v>1.68</v>
      </c>
      <c r="H6" s="6">
        <f>G6/D6-1</f>
        <v/>
      </c>
      <c r="I6" s="7">
        <f>IF(H6="","Recommandation ignoree",IF(SIGN(F6)=SIGN(H6),"Meme direction, ampleur differente","DIRECTION OPPOSEE"))</f>
        <v/>
      </c>
      <c r="J6" s="8" t="inlineStr">
        <is>
          <t>High ACOS (19% &gt; target 15%, normal): bid trimmed up to 10%</t>
        </is>
      </c>
    </row>
    <row r="7" ht="30" customHeight="1">
      <c r="A7" s="4" t="inlineStr">
        <is>
          <t>wood cutting board</t>
        </is>
      </c>
      <c r="B7" s="4" t="inlineStr">
        <is>
          <t>Keyword</t>
        </is>
      </c>
      <c r="C7" s="4" t="inlineStr">
        <is>
          <t>556706285412304</t>
        </is>
      </c>
      <c r="D7" s="5" t="n">
        <v>0.79</v>
      </c>
      <c r="E7" s="5" t="n">
        <v>0.71</v>
      </c>
      <c r="F7" s="6">
        <f>E7/D7-1</f>
        <v/>
      </c>
      <c r="G7" s="5" t="n">
        <v>0.8295000000000001</v>
      </c>
      <c r="H7" s="6">
        <f>G7/D7-1</f>
        <v/>
      </c>
      <c r="I7" s="7">
        <f>IF(H7="","Recommandation ignoree",IF(SIGN(F7)=SIGN(H7),"Meme direction, ampleur differente","DIRECTION OPPOSEE"))</f>
        <v/>
      </c>
      <c r="J7" s="8" t="inlineStr">
        <is>
          <t>High ACOS (20% &gt; target 15%, normal): bid trimmed up to 10%</t>
        </is>
      </c>
    </row>
    <row r="8" ht="30" customHeight="1">
      <c r="A8" s="9" t="inlineStr">
        <is>
          <t>cutting boards</t>
        </is>
      </c>
      <c r="B8" s="9" t="inlineStr">
        <is>
          <t>Keyword</t>
        </is>
      </c>
      <c r="C8" s="9" t="inlineStr">
        <is>
          <t>313391642492023</t>
        </is>
      </c>
      <c r="D8" s="10" t="n">
        <v>0.75</v>
      </c>
      <c r="E8" s="10" t="n">
        <v>0.68</v>
      </c>
      <c r="F8" s="11">
        <f>E8/D8-1</f>
        <v/>
      </c>
      <c r="G8" s="12" t="inlineStr">
        <is>
          <t>Aucune modif appliquee</t>
        </is>
      </c>
      <c r="H8" s="9" t="inlineStr"/>
      <c r="I8" s="13">
        <f>IF(H8="","Recommandation ignoree",IF(SIGN(F8)=SIGN(H8),"Meme direction, ampleur differente","DIRECTION OPPOSEE"))</f>
        <v/>
      </c>
      <c r="J8" s="14" t="inlineStr">
        <is>
          <t>High ACOS (20% &gt; target 15%, normal): bid trimmed up to 10%</t>
        </is>
      </c>
    </row>
    <row r="9" ht="30" customHeight="1">
      <c r="A9" s="9" t="inlineStr">
        <is>
          <t>large cutting boards</t>
        </is>
      </c>
      <c r="B9" s="9" t="inlineStr">
        <is>
          <t>Keyword</t>
        </is>
      </c>
      <c r="C9" s="9" t="inlineStr">
        <is>
          <t>484892062225853</t>
        </is>
      </c>
      <c r="D9" s="10" t="n">
        <v>0.95</v>
      </c>
      <c r="E9" s="10" t="n">
        <v>0.85</v>
      </c>
      <c r="F9" s="11">
        <f>E9/D9-1</f>
        <v/>
      </c>
      <c r="G9" s="12" t="inlineStr">
        <is>
          <t>Aucune modif appliquee</t>
        </is>
      </c>
      <c r="H9" s="9" t="inlineStr"/>
      <c r="I9" s="13">
        <f>IF(H9="","Recommandation ignoree",IF(SIGN(F9)=SIGN(H9),"Meme direction, ampleur differente","DIRECTION OPPOSEE"))</f>
        <v/>
      </c>
      <c r="J9" s="14" t="inlineStr">
        <is>
          <t>High ACOS (20% &gt; target 15%, normal): bid trimmed up to 10%</t>
        </is>
      </c>
    </row>
    <row r="10" ht="30" customHeight="1">
      <c r="A10" s="9" t="inlineStr">
        <is>
          <t>loose-match</t>
        </is>
      </c>
      <c r="B10" s="9" t="inlineStr">
        <is>
          <t>Product targeting</t>
        </is>
      </c>
      <c r="C10" s="9" t="inlineStr">
        <is>
          <t>198126899556260</t>
        </is>
      </c>
      <c r="D10" s="10" t="n">
        <v>1.12</v>
      </c>
      <c r="E10" s="10" t="n">
        <v>1.01</v>
      </c>
      <c r="F10" s="11">
        <f>E10/D10-1</f>
        <v/>
      </c>
      <c r="G10" s="12" t="inlineStr">
        <is>
          <t>Aucune modif appliquee</t>
        </is>
      </c>
      <c r="H10" s="9" t="inlineStr"/>
      <c r="I10" s="13">
        <f>IF(H10="","Recommandation ignoree",IF(SIGN(F10)=SIGN(H10),"Meme direction, ampleur differente","DIRECTION OPPOSEE"))</f>
        <v/>
      </c>
      <c r="J10" s="14" t="inlineStr">
        <is>
          <t>High ACOS (21% &gt; target 15%, normal): bid trimmed up to 10%</t>
        </is>
      </c>
    </row>
    <row r="11" ht="30" customHeight="1">
      <c r="A11" s="15" t="inlineStr">
        <is>
          <t>asin="B00063QBF4"</t>
        </is>
      </c>
      <c r="B11" s="15" t="inlineStr">
        <is>
          <t>Product targeting</t>
        </is>
      </c>
      <c r="C11" s="15" t="inlineStr">
        <is>
          <t>383587839339382</t>
        </is>
      </c>
      <c r="D11" s="16" t="n">
        <v>1.13</v>
      </c>
      <c r="E11" s="16" t="n">
        <v>1.36</v>
      </c>
      <c r="F11" s="17">
        <f>E11/D11-1</f>
        <v/>
      </c>
      <c r="G11" s="16" t="n">
        <v>1.1865</v>
      </c>
      <c r="H11" s="17">
        <f>G11/D11-1</f>
        <v/>
      </c>
      <c r="I11" s="18">
        <f>IF(H11="","Recommandation ignoree",IF(SIGN(F11)=SIGN(H11),"Meme direction, ampleur differente","DIRECTION OPPOSEE"))</f>
        <v/>
      </c>
      <c r="J11" s="19" t="inlineStr">
        <is>
          <t>Low ACOS (7% &lt;= 12% threshold, extreme): bid +20%</t>
        </is>
      </c>
    </row>
    <row r="12" ht="30" customHeight="1">
      <c r="A12" s="15" t="inlineStr">
        <is>
          <t>asin="B09FTKLDJC"</t>
        </is>
      </c>
      <c r="B12" s="15" t="inlineStr">
        <is>
          <t>Product targeting</t>
        </is>
      </c>
      <c r="C12" s="15" t="inlineStr">
        <is>
          <t>506244454763513</t>
        </is>
      </c>
      <c r="D12" s="16" t="n">
        <v>1.33</v>
      </c>
      <c r="E12" s="16" t="n">
        <v>1.6</v>
      </c>
      <c r="F12" s="17">
        <f>E12/D12-1</f>
        <v/>
      </c>
      <c r="G12" s="16" t="n">
        <v>1.3965</v>
      </c>
      <c r="H12" s="17">
        <f>G12/D12-1</f>
        <v/>
      </c>
      <c r="I12" s="18">
        <f>IF(H12="","Recommandation ignoree",IF(SIGN(F12)=SIGN(H12),"Meme direction, ampleur differente","DIRECTION OPPOSEE"))</f>
        <v/>
      </c>
      <c r="J12" s="19" t="inlineStr">
        <is>
          <t>Low ACOS (2% &lt;= 12% threshold, extreme): bid +20%</t>
        </is>
      </c>
    </row>
    <row r="13" ht="30" customHeight="1">
      <c r="A13" s="15" t="inlineStr">
        <is>
          <t>butcher block</t>
        </is>
      </c>
      <c r="B13" s="15" t="inlineStr">
        <is>
          <t>Keyword</t>
        </is>
      </c>
      <c r="C13" s="15" t="inlineStr">
        <is>
          <t>480558618138875</t>
        </is>
      </c>
      <c r="D13" s="16" t="n">
        <v>0.6</v>
      </c>
      <c r="E13" s="16" t="n">
        <v>0.54</v>
      </c>
      <c r="F13" s="17">
        <f>E13/D13-1</f>
        <v/>
      </c>
      <c r="G13" s="16" t="n">
        <v>0.555</v>
      </c>
      <c r="H13" s="17">
        <f>G13/D13-1</f>
        <v/>
      </c>
      <c r="I13" s="18">
        <f>IF(H13="","Recommandation ignoree",IF(SIGN(F13)=SIGN(H13),"Meme direction, ampleur differente","DIRECTION OPPOSEE"))</f>
        <v/>
      </c>
      <c r="J13" s="19" t="inlineStr">
        <is>
          <t>High ACOS (29% &gt; target 15%, normal): bid trimmed up to 10%</t>
        </is>
      </c>
    </row>
    <row r="14" ht="30" customHeight="1">
      <c r="A14" s="15" t="inlineStr">
        <is>
          <t>butchers block cutting board</t>
        </is>
      </c>
      <c r="B14" s="15" t="inlineStr">
        <is>
          <t>Keyword</t>
        </is>
      </c>
      <c r="C14" s="15" t="inlineStr">
        <is>
          <t>428783895764121</t>
        </is>
      </c>
      <c r="D14" s="16" t="n">
        <v>1.15</v>
      </c>
      <c r="E14" s="16" t="n">
        <v>0.86</v>
      </c>
      <c r="F14" s="17">
        <f>E14/D14-1</f>
        <v/>
      </c>
      <c r="G14" s="16" t="n">
        <v>1.035</v>
      </c>
      <c r="H14" s="17">
        <f>G14/D14-1</f>
        <v/>
      </c>
      <c r="I14" s="18">
        <f>IF(H14="","Recommandation ignoree",IF(SIGN(F14)=SIGN(H14),"Meme direction, ampleur differente","DIRECTION OPPOSEE"))</f>
        <v/>
      </c>
      <c r="J14" s="19" t="inlineStr">
        <is>
          <t>High ACOS (72% &gt; target 15%, extreme): bid trimmed up to 25%</t>
        </is>
      </c>
    </row>
    <row r="15" ht="30" customHeight="1">
      <c r="A15" s="15" t="inlineStr">
        <is>
          <t>close-match</t>
        </is>
      </c>
      <c r="B15" s="15" t="inlineStr">
        <is>
          <t>Product targeting</t>
        </is>
      </c>
      <c r="C15" s="15" t="inlineStr">
        <is>
          <t>444555453371456</t>
        </is>
      </c>
      <c r="D15" s="16" t="n">
        <v>1.31</v>
      </c>
      <c r="E15" s="16" t="n">
        <v>1.57</v>
      </c>
      <c r="F15" s="17">
        <f>E15/D15-1</f>
        <v/>
      </c>
      <c r="G15" s="16" t="n">
        <v>1.3755</v>
      </c>
      <c r="H15" s="17">
        <f>G15/D15-1</f>
        <v/>
      </c>
      <c r="I15" s="18">
        <f>IF(H15="","Recommandation ignoree",IF(SIGN(F15)=SIGN(H15),"Meme direction, ampleur differente","DIRECTION OPPOSEE"))</f>
        <v/>
      </c>
      <c r="J15" s="19" t="inlineStr">
        <is>
          <t>Low ACOS (5% &lt;= 12% threshold, extreme): bid +20%</t>
        </is>
      </c>
    </row>
    <row r="16" ht="30" customHeight="1">
      <c r="A16" s="15" t="inlineStr">
        <is>
          <t>cutting board</t>
        </is>
      </c>
      <c r="B16" s="15" t="inlineStr">
        <is>
          <t>Keyword</t>
        </is>
      </c>
      <c r="C16" s="15" t="inlineStr">
        <is>
          <t>281188428829549</t>
        </is>
      </c>
      <c r="D16" s="16" t="n">
        <v>0.67</v>
      </c>
      <c r="E16" s="16" t="n">
        <v>0.6</v>
      </c>
      <c r="F16" s="17">
        <f>E16/D16-1</f>
        <v/>
      </c>
      <c r="G16" s="16" t="n">
        <v>0.61975</v>
      </c>
      <c r="H16" s="17">
        <f>G16/D16-1</f>
        <v/>
      </c>
      <c r="I16" s="18">
        <f>IF(H16="","Recommandation ignoree",IF(SIGN(F16)=SIGN(H16),"Meme direction, ampleur differente","DIRECTION OPPOSEE"))</f>
        <v/>
      </c>
      <c r="J16" s="19" t="inlineStr">
        <is>
          <t>High ACOS (30% &gt; target 15%, normal): bid trimmed up to 10%</t>
        </is>
      </c>
    </row>
    <row r="17" ht="30" customHeight="1">
      <c r="A17" s="15" t="inlineStr">
        <is>
          <t>cutting boards wood</t>
        </is>
      </c>
      <c r="B17" s="15" t="inlineStr">
        <is>
          <t>Keyword</t>
        </is>
      </c>
      <c r="C17" s="15" t="inlineStr">
        <is>
          <t>543694741153459</t>
        </is>
      </c>
      <c r="D17" s="16" t="n">
        <v>0.93</v>
      </c>
      <c r="E17" s="16" t="n">
        <v>0.7</v>
      </c>
      <c r="F17" s="17">
        <f>E17/D17-1</f>
        <v/>
      </c>
      <c r="G17" s="16" t="n">
        <v>0.8370000000000001</v>
      </c>
      <c r="H17" s="17">
        <f>G17/D17-1</f>
        <v/>
      </c>
      <c r="I17" s="18">
        <f>IF(H17="","Recommandation ignoree",IF(SIGN(F17)=SIGN(H17),"Meme direction, ampleur differente","DIRECTION OPPOSEE"))</f>
        <v/>
      </c>
      <c r="J17" s="19" t="inlineStr">
        <is>
          <t>High ACOS (88% &gt; target 15%, extreme): bid trimmed up to 25%</t>
        </is>
      </c>
    </row>
    <row r="18" ht="30" customHeight="1">
      <c r="A18" s="15" t="inlineStr">
        <is>
          <t>end grain cutting board</t>
        </is>
      </c>
      <c r="B18" s="15" t="inlineStr">
        <is>
          <t>Keyword</t>
        </is>
      </c>
      <c r="C18" s="15" t="inlineStr">
        <is>
          <t>365649805306775</t>
        </is>
      </c>
      <c r="D18" s="16" t="n">
        <v>0.79</v>
      </c>
      <c r="E18" s="16" t="n">
        <v>0.95</v>
      </c>
      <c r="F18" s="17">
        <f>E18/D18-1</f>
        <v/>
      </c>
      <c r="G18" s="16" t="n">
        <v>0.8295000000000001</v>
      </c>
      <c r="H18" s="17">
        <f>G18/D18-1</f>
        <v/>
      </c>
      <c r="I18" s="18">
        <f>IF(H18="","Recommandation ignoree",IF(SIGN(F18)=SIGN(H18),"Meme direction, ampleur differente","DIRECTION OPPOSEE"))</f>
        <v/>
      </c>
      <c r="J18" s="19" t="inlineStr">
        <is>
          <t>Low ACOS (5% &lt;= 12% threshold, extreme): bid +20%</t>
        </is>
      </c>
    </row>
    <row r="19" ht="30" customHeight="1">
      <c r="A19" s="15" t="inlineStr">
        <is>
          <t>hardwood cutting board</t>
        </is>
      </c>
      <c r="B19" s="15" t="inlineStr">
        <is>
          <t>Keyword</t>
        </is>
      </c>
      <c r="C19" s="15" t="inlineStr">
        <is>
          <t>458066447727787</t>
        </is>
      </c>
      <c r="D19" s="16" t="n">
        <v>1.4</v>
      </c>
      <c r="E19" s="16" t="n">
        <v>1.05</v>
      </c>
      <c r="F19" s="17">
        <f>E19/D19-1</f>
        <v/>
      </c>
      <c r="G19" s="16" t="n">
        <v>1.295</v>
      </c>
      <c r="H19" s="17">
        <f>G19/D19-1</f>
        <v/>
      </c>
      <c r="I19" s="18">
        <f>IF(H19="","Recommandation ignoree",IF(SIGN(F19)=SIGN(H19),"Meme direction, ampleur differente","DIRECTION OPPOSEE"))</f>
        <v/>
      </c>
      <c r="J19" s="19" t="inlineStr">
        <is>
          <t>High ACOS (42% &gt; target 15%, extreme): bid trimmed up to 25%</t>
        </is>
      </c>
    </row>
    <row r="20" ht="30" customHeight="1">
      <c r="A20" s="15" t="inlineStr">
        <is>
          <t>loose-match</t>
        </is>
      </c>
      <c r="B20" s="15" t="inlineStr">
        <is>
          <t>Product targeting</t>
        </is>
      </c>
      <c r="C20" s="15" t="inlineStr">
        <is>
          <t>301378243586420</t>
        </is>
      </c>
      <c r="D20" s="16" t="n">
        <v>0.98</v>
      </c>
      <c r="E20" s="16" t="n">
        <v>0.73</v>
      </c>
      <c r="F20" s="17">
        <f>E20/D20-1</f>
        <v/>
      </c>
      <c r="G20" s="16" t="n">
        <v>0.882</v>
      </c>
      <c r="H20" s="17">
        <f>G20/D20-1</f>
        <v/>
      </c>
      <c r="I20" s="18">
        <f>IF(H20="","Recommandation ignoree",IF(SIGN(F20)=SIGN(H20),"Meme direction, ampleur differente","DIRECTION OPPOSEE"))</f>
        <v/>
      </c>
      <c r="J20" s="19" t="inlineStr">
        <is>
          <t>High ACOS (44% &gt; target 15%, extreme): bid trimmed up to 25%</t>
        </is>
      </c>
    </row>
    <row r="21" ht="30" customHeight="1">
      <c r="A21" s="15" t="inlineStr">
        <is>
          <t>maple cutting board</t>
        </is>
      </c>
      <c r="B21" s="15" t="inlineStr">
        <is>
          <t>Keyword</t>
        </is>
      </c>
      <c r="C21" s="15" t="inlineStr">
        <is>
          <t>353586547960220</t>
        </is>
      </c>
      <c r="D21" s="16" t="n">
        <v>1.33</v>
      </c>
      <c r="E21" s="16" t="n">
        <v>1</v>
      </c>
      <c r="F21" s="17">
        <f>E21/D21-1</f>
        <v/>
      </c>
      <c r="G21" s="16" t="n">
        <v>1.23025</v>
      </c>
      <c r="H21" s="17">
        <f>G21/D21-1</f>
        <v/>
      </c>
      <c r="I21" s="18">
        <f>IF(H21="","Recommandation ignoree",IF(SIGN(F21)=SIGN(H21),"Meme direction, ampleur differente","DIRECTION OPPOSEE"))</f>
        <v/>
      </c>
      <c r="J21" s="19" t="inlineStr">
        <is>
          <t>High ACOS (215% &gt; target 15%, extreme): bid trimmed up to 25%</t>
        </is>
      </c>
    </row>
    <row r="22" ht="30" customHeight="1">
      <c r="A22" s="15" t="inlineStr">
        <is>
          <t>maple cutting boards</t>
        </is>
      </c>
      <c r="B22" s="15" t="inlineStr">
        <is>
          <t>Keyword</t>
        </is>
      </c>
      <c r="C22" s="15" t="inlineStr">
        <is>
          <t>562366733830233</t>
        </is>
      </c>
      <c r="D22" s="16" t="n">
        <v>1.3</v>
      </c>
      <c r="E22" s="16" t="n">
        <v>0.98</v>
      </c>
      <c r="F22" s="17">
        <f>E22/D22-1</f>
        <v/>
      </c>
      <c r="G22" s="16" t="n">
        <v>1.2025</v>
      </c>
      <c r="H22" s="17">
        <f>G22/D22-1</f>
        <v/>
      </c>
      <c r="I22" s="18">
        <f>IF(H22="","Recommandation ignoree",IF(SIGN(F22)=SIGN(H22),"Meme direction, ampleur differente","DIRECTION OPPOSEE"))</f>
        <v/>
      </c>
      <c r="J22" s="19" t="inlineStr">
        <is>
          <t>High ACOS (324% &gt; target 15%, extreme): bid trimmed up to 25%</t>
        </is>
      </c>
    </row>
    <row r="23" ht="30" customHeight="1">
      <c r="A23" s="15" t="inlineStr">
        <is>
          <t>maple wooden cutting boards</t>
        </is>
      </c>
      <c r="B23" s="15" t="inlineStr">
        <is>
          <t>Keyword</t>
        </is>
      </c>
      <c r="C23" s="15" t="inlineStr">
        <is>
          <t>314251560857575</t>
        </is>
      </c>
      <c r="D23" s="16" t="n">
        <v>2.2</v>
      </c>
      <c r="E23" s="16" t="n">
        <v>1.65</v>
      </c>
      <c r="F23" s="17">
        <f>E23/D23-1</f>
        <v/>
      </c>
      <c r="G23" s="16" t="n">
        <v>2.035</v>
      </c>
      <c r="H23" s="17">
        <f>G23/D23-1</f>
        <v/>
      </c>
      <c r="I23" s="18">
        <f>IF(H23="","Recommandation ignoree",IF(SIGN(F23)=SIGN(H23),"Meme direction, ampleur differente","DIRECTION OPPOSEE"))</f>
        <v/>
      </c>
      <c r="J23" s="19" t="inlineStr">
        <is>
          <t>High ACOS (31% &gt; target 15%, extreme): bid trimmed up to 25%</t>
        </is>
      </c>
    </row>
    <row r="24" ht="30" customHeight="1">
      <c r="A24" s="15" t="inlineStr">
        <is>
          <t>meat cutting board</t>
        </is>
      </c>
      <c r="B24" s="15" t="inlineStr">
        <is>
          <t>Keyword</t>
        </is>
      </c>
      <c r="C24" s="15" t="inlineStr">
        <is>
          <t>298434648367772</t>
        </is>
      </c>
      <c r="D24" s="16" t="n">
        <v>0.93</v>
      </c>
      <c r="E24" s="16" t="n">
        <v>0.7</v>
      </c>
      <c r="F24" s="17">
        <f>E24/D24-1</f>
        <v/>
      </c>
      <c r="G24" s="16" t="n">
        <v>0.8835</v>
      </c>
      <c r="H24" s="17">
        <f>G24/D24-1</f>
        <v/>
      </c>
      <c r="I24" s="18">
        <f>IF(H24="","Recommandation ignoree",IF(SIGN(F24)=SIGN(H24),"Meme direction, ampleur differente","DIRECTION OPPOSEE"))</f>
        <v/>
      </c>
      <c r="J24" s="19" t="inlineStr">
        <is>
          <t>High ACOS (111% &gt; target 15%, extreme): bid trimmed up to 25%</t>
        </is>
      </c>
    </row>
    <row r="25" ht="30" customHeight="1">
      <c r="A25" s="15" t="inlineStr">
        <is>
          <t>walnut cutting board</t>
        </is>
      </c>
      <c r="B25" s="15" t="inlineStr">
        <is>
          <t>Keyword</t>
        </is>
      </c>
      <c r="C25" s="15" t="inlineStr">
        <is>
          <t>323198626550228</t>
        </is>
      </c>
      <c r="D25" s="16" t="n">
        <v>0.67</v>
      </c>
      <c r="E25" s="16" t="n">
        <v>0.8</v>
      </c>
      <c r="F25" s="17">
        <f>E25/D25-1</f>
        <v/>
      </c>
      <c r="G25" s="16" t="n">
        <v>0.7035000000000001</v>
      </c>
      <c r="H25" s="17">
        <f>G25/D25-1</f>
        <v/>
      </c>
      <c r="I25" s="18">
        <f>IF(H25="","Recommandation ignoree",IF(SIGN(F25)=SIGN(H25),"Meme direction, ampleur differente","DIRECTION OPPOSEE"))</f>
        <v/>
      </c>
      <c r="J25" s="19" t="inlineStr">
        <is>
          <t>Low ACOS (6% &lt;= 12% threshold, extreme): bid +20%</t>
        </is>
      </c>
    </row>
    <row r="26" ht="30" customHeight="1">
      <c r="A26" s="15" t="inlineStr">
        <is>
          <t>wood butcher block</t>
        </is>
      </c>
      <c r="B26" s="15" t="inlineStr">
        <is>
          <t>Keyword</t>
        </is>
      </c>
      <c r="C26" s="15" t="inlineStr">
        <is>
          <t>461525442301808</t>
        </is>
      </c>
      <c r="D26" s="16" t="n">
        <v>1.5</v>
      </c>
      <c r="E26" s="16" t="n">
        <v>1.58</v>
      </c>
      <c r="F26" s="17">
        <f>E26/D26-1</f>
        <v/>
      </c>
      <c r="G26" s="16" t="n">
        <v>1.575</v>
      </c>
      <c r="H26" s="17">
        <f>G26/D26-1</f>
        <v/>
      </c>
      <c r="I26" s="18">
        <f>IF(H26="","Recommandation ignoree",IF(SIGN(F26)=SIGN(H26),"Meme direction, ampleur differente","DIRECTION OPPOSEE"))</f>
        <v/>
      </c>
      <c r="J26" s="19" t="inlineStr">
        <is>
          <t>Low ACOS (11% &lt;= 12% threshold, normal): bid +6%</t>
        </is>
      </c>
    </row>
    <row r="27" ht="30" customHeight="1">
      <c r="A27" s="15" t="inlineStr">
        <is>
          <t>wood cutting board</t>
        </is>
      </c>
      <c r="B27" s="15" t="inlineStr">
        <is>
          <t>Keyword</t>
        </is>
      </c>
      <c r="C27" s="15" t="inlineStr">
        <is>
          <t>46315621054935</t>
        </is>
      </c>
      <c r="D27" s="16" t="n">
        <v>0.71</v>
      </c>
      <c r="E27" s="16" t="n">
        <v>0.75</v>
      </c>
      <c r="F27" s="17">
        <f>E27/D27-1</f>
        <v/>
      </c>
      <c r="G27" s="16" t="n">
        <v>0.7454999999999999</v>
      </c>
      <c r="H27" s="17">
        <f>G27/D27-1</f>
        <v/>
      </c>
      <c r="I27" s="18">
        <f>IF(H27="","Recommandation ignoree",IF(SIGN(F27)=SIGN(H27),"Meme direction, ampleur differente","DIRECTION OPPOSEE"))</f>
        <v/>
      </c>
      <c r="J27" s="19" t="inlineStr">
        <is>
          <t>Low ACOS (10% &lt;= 12% threshold, normal): bid +6%</t>
        </is>
      </c>
    </row>
    <row r="30">
      <c r="A30" s="20" t="inlineStr">
        <is>
          <t>Resume</t>
        </is>
      </c>
    </row>
    <row r="31">
      <c r="A31" s="21" t="inlineStr">
        <is>
          <t>Direction opposee</t>
        </is>
      </c>
      <c r="B31" s="22">
        <f>COUNTIF(I5:I27,"DIRECTION OPPOSEE")</f>
        <v/>
      </c>
    </row>
    <row r="32">
      <c r="A32" s="23" t="inlineStr">
        <is>
          <t>Recommandation ignoree</t>
        </is>
      </c>
      <c r="B32" s="22">
        <f>COUNTIF(I5:I27,"Recommandation ignoree")</f>
        <v/>
      </c>
    </row>
    <row r="33">
      <c r="A33" s="24" t="inlineStr">
        <is>
          <t>Meme direction, ampleur differente</t>
        </is>
      </c>
      <c r="B33" s="22">
        <f>COUNTIF(I5:I27,"Meme direction, ampleur differente")</f>
        <v/>
      </c>
    </row>
    <row r="35">
      <c r="A35" s="2" t="inlineStr">
        <is>
          <t>Note: les 30 mots-cles modifies manuellement sans recommandation du moteur ne sont pas inclus dans ce rapport (hors perimetre demande).</t>
        </is>
      </c>
    </row>
  </sheetData>
  <mergeCells count="3">
    <mergeCell ref="A1:I1"/>
    <mergeCell ref="A35:J3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2026-07-20T16:10:47Z</dcterms:created>
  <dcterms:modified xsi:type="dcterms:W3CDTF">2026-07-20T16:10:47Z</dcterms:modified>
</cp:coreProperties>
</file>